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1" hidden="1">'Tickets'!$A$1:$M$2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color rgb="00222222"/>
      <sz val="11"/>
    </font>
    <font>
      <name val="Arial"/>
      <b val="1"/>
      <color rgb="00FFFFFF"/>
      <sz val="14"/>
    </font>
    <font>
      <name val="Arial"/>
      <b val="1"/>
      <color rgb="00163A5F"/>
      <sz val="11"/>
    </font>
    <font>
      <name val="Arial"/>
      <b val="1"/>
      <color rgb="00FFFFFF"/>
      <sz val="16"/>
    </font>
    <font>
      <name val="Arial"/>
      <b val="1"/>
      <color rgb="00163A5F"/>
    </font>
    <font>
      <name val="Arial"/>
      <sz val="1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0" fontId="7" fillId="3" borderId="1" pivotButton="0" quotePrefix="0" xfId="0"/>
    <xf numFmtId="0" fontId="8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pportTickets" displayName="SupportTickets" ref="A1:M2" headerRowCount="1">
  <autoFilter ref="A1:M2"/>
  <tableColumns count="13">
    <tableColumn id="1" name="Ticket ID"/>
    <tableColumn id="2" name="Created"/>
    <tableColumn id="3" name="Channel"/>
    <tableColumn id="4" name="Name"/>
    <tableColumn id="5" name="Contact"/>
    <tableColumn id="6" name="Category"/>
    <tableColumn id="7" name="Priority"/>
    <tableColumn id="8" name="Sentiment"/>
    <tableColumn id="9" name="Summary"/>
    <tableColumn id="10" name="Message"/>
    <tableColumn id="11" name="Due At"/>
    <tableColumn id="12" name="Status"/>
    <tableColumn id="13" name="Confide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ملخص تذاكر دعم العملاء</t>
        </is>
      </c>
      <c r="B1" s="2" t="n"/>
    </row>
    <row r="2">
      <c r="A2" s="2" t="n"/>
      <c r="B2" s="2" t="n"/>
    </row>
    <row r="3">
      <c r="A3" s="3" t="inlineStr">
        <is>
          <t>المؤشر</t>
        </is>
      </c>
      <c r="B3" s="3" t="inlineStr">
        <is>
          <t>القيمة</t>
        </is>
      </c>
    </row>
    <row r="4">
      <c r="A4" s="4" t="inlineStr">
        <is>
          <t>إجمالي التذاكر</t>
        </is>
      </c>
      <c r="B4" s="5">
        <f>COUNTA(Tickets!A2:A1000)</f>
        <v/>
      </c>
    </row>
    <row r="5">
      <c r="A5" s="4" t="inlineStr">
        <is>
          <t>تذاكر عاجلة</t>
        </is>
      </c>
      <c r="B5" s="5">
        <f>COUNTIF(Tickets!G2:G1000,"urgent")</f>
        <v/>
      </c>
    </row>
    <row r="6">
      <c r="A6" s="4" t="inlineStr">
        <is>
          <t>تذاكر عالية الأولوية</t>
        </is>
      </c>
      <c r="B6" s="5">
        <f>COUNTIF(Tickets!G2:G1000,"high")</f>
        <v/>
      </c>
    </row>
    <row r="7">
      <c r="A7" s="4" t="inlineStr">
        <is>
          <t>تذاكر مفتوحة</t>
        </is>
      </c>
      <c r="B7" s="5">
        <f>COUNTIF(Tickets!L2:L1000,"open")</f>
        <v/>
      </c>
    </row>
    <row r="8">
      <c r="A8" s="4" t="inlineStr">
        <is>
          <t>تم الرد آليًا</t>
        </is>
      </c>
      <c r="B8" s="5">
        <f>COUNTIF(Tickets!L2:L1000,"auto-answered")</f>
        <v/>
      </c>
    </row>
    <row r="9">
      <c r="A9" s="4" t="inlineStr">
        <is>
          <t>شكاوى</t>
        </is>
      </c>
      <c r="B9" s="5">
        <f>COUNTIF(Tickets!F2:F1000,"complaint")</f>
        <v/>
      </c>
    </row>
    <row r="10">
      <c r="A10" s="4" t="inlineStr">
        <is>
          <t>طلبات استرداد</t>
        </is>
      </c>
      <c r="B10" s="5">
        <f>COUNTIF(Tickets!F2:F1000,"refund")</f>
        <v/>
      </c>
    </row>
    <row r="11">
      <c r="A11" s="4" t="inlineStr">
        <is>
          <t>تحتاج متابعة بشرية (راجع يدويًا)</t>
        </is>
      </c>
      <c r="B11" s="5">
        <f>COUNTIF(Tickets!L2:L1000,"pending")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2" customWidth="1" min="4" max="4"/>
    <col width="30" customWidth="1" min="5" max="5"/>
    <col width="16" customWidth="1" min="6" max="6"/>
    <col width="14" customWidth="1" min="7" max="7"/>
    <col width="16" customWidth="1" min="8" max="8"/>
    <col width="42" customWidth="1" min="9" max="9"/>
    <col width="58" customWidth="1" min="10" max="10"/>
    <col width="20" customWidth="1" min="11" max="11"/>
    <col width="18" customWidth="1" min="12" max="12"/>
    <col width="14" customWidth="1" min="13" max="13"/>
  </cols>
  <sheetData>
    <row r="1" ht="32" customHeight="1">
      <c r="A1" s="6" t="inlineStr">
        <is>
          <t>Ticket ID</t>
        </is>
      </c>
      <c r="B1" s="6" t="inlineStr">
        <is>
          <t>Created</t>
        </is>
      </c>
      <c r="C1" s="6" t="inlineStr">
        <is>
          <t>Channel</t>
        </is>
      </c>
      <c r="D1" s="6" t="inlineStr">
        <is>
          <t>Name</t>
        </is>
      </c>
      <c r="E1" s="6" t="inlineStr">
        <is>
          <t>Contact</t>
        </is>
      </c>
      <c r="F1" s="6" t="inlineStr">
        <is>
          <t>Category</t>
        </is>
      </c>
      <c r="G1" s="6" t="inlineStr">
        <is>
          <t>Priority</t>
        </is>
      </c>
      <c r="H1" s="6" t="inlineStr">
        <is>
          <t>Sentiment</t>
        </is>
      </c>
      <c r="I1" s="6" t="inlineStr">
        <is>
          <t>Summary</t>
        </is>
      </c>
      <c r="J1" s="6" t="inlineStr">
        <is>
          <t>Message</t>
        </is>
      </c>
      <c r="K1" s="6" t="inlineStr">
        <is>
          <t>Due At</t>
        </is>
      </c>
      <c r="L1" s="6" t="inlineStr">
        <is>
          <t>Status</t>
        </is>
      </c>
      <c r="M1" s="6" t="inlineStr">
        <is>
          <t>Confidence</t>
        </is>
      </c>
    </row>
    <row r="2" ht="70" customHeight="1">
      <c r="A2" s="7" t="inlineStr">
        <is>
          <t>TCK-261027-DEMO</t>
        </is>
      </c>
      <c r="B2" s="8" t="n">
        <v>46322.47916666666</v>
      </c>
      <c r="C2" s="7" t="inlineStr">
        <is>
          <t>manual</t>
        </is>
      </c>
      <c r="D2" s="7" t="inlineStr">
        <is>
          <t>سارة أحمد</t>
        </is>
      </c>
      <c r="E2" s="7" t="inlineStr">
        <is>
          <t>sara@example.com</t>
        </is>
      </c>
      <c r="F2" s="7" t="inlineStr">
        <is>
          <t>complaint</t>
        </is>
      </c>
      <c r="G2" s="7" t="inlineStr">
        <is>
          <t>high</t>
        </is>
      </c>
      <c r="H2" s="7" t="inlineStr">
        <is>
          <t>negative</t>
        </is>
      </c>
      <c r="I2" s="7" t="inlineStr">
        <is>
          <t>تأخر وصول الطلب وعدم الرد على اتصالات العميلة.</t>
        </is>
      </c>
      <c r="J2" s="7" t="inlineStr">
        <is>
          <t>طلبت جهاز يوم 12 ولم يصل حتى الآن، وكل مرة أتصل لا أحد يرد. إذا لم يُحل الموضوع اليوم سألغي الطلب وأطلب استرداد المبلغ.</t>
        </is>
      </c>
      <c r="K2" s="8" t="n">
        <v>46322.64583333334</v>
      </c>
      <c r="L2" s="7" t="inlineStr">
        <is>
          <t>open</t>
        </is>
      </c>
      <c r="M2" s="9" t="n">
        <v>0.92</v>
      </c>
    </row>
  </sheetData>
  <autoFilter ref="A1:M2"/>
  <conditionalFormatting sqref="G2:G1000">
    <cfRule type="expression" priority="1" dxfId="0">
      <formula>G2="urgent"</formula>
    </cfRule>
    <cfRule type="expression" priority="2" dxfId="1">
      <formula>G2="high"</formula>
    </cfRule>
    <cfRule type="expression" priority="3" dxfId="2">
      <formula>G2="normal"</formula>
    </cfRule>
    <cfRule type="expression" priority="4" dxfId="3">
      <formula>G2="low"</formula>
    </cfRule>
  </conditionalFormatting>
  <dataValidations count="5">
    <dataValidation sqref="C2:C1000" showDropDown="0" showInputMessage="0" showErrorMessage="0" allowBlank="1" type="list">
      <formula1>"web,telegram,manual"</formula1>
    </dataValidation>
    <dataValidation sqref="F2:F1000" showDropDown="0" showInputMessage="0" showErrorMessage="0" allowBlank="1" type="list">
      <formula1>"complaint,refund,order,inquiry,spam,other"</formula1>
    </dataValidation>
    <dataValidation sqref="G2:G1000" showDropDown="0" showInputMessage="0" showErrorMessage="0" allowBlank="1" type="list">
      <formula1>"urgent,high,normal,low"</formula1>
    </dataValidation>
    <dataValidation sqref="H2:H1000" showDropDown="0" showInputMessage="0" showErrorMessage="0" allowBlank="1" type="list">
      <formula1>"angry,negative,neutral,positive"</formula1>
    </dataValidation>
    <dataValidation sqref="L2:L1000" showDropDown="0" showInputMessage="0" showErrorMessage="0" allowBlank="1" type="list">
      <formula1>"open,auto-answered,closed,pending,resolved"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10" t="inlineStr">
        <is>
          <t>دليل ملف مشروع 08 — AI Support Ticket Triage</t>
        </is>
      </c>
      <c r="B1" s="10" t="n"/>
    </row>
    <row r="2" ht="35" customHeight="1">
      <c r="A2" s="11" t="inlineStr">
        <is>
          <t>الغرض</t>
        </is>
      </c>
      <c r="B2" s="12" t="inlineStr">
        <is>
          <t>تسجيل تذاكر دعم العملاء التي يصنفها AI داخل n8n.</t>
        </is>
      </c>
    </row>
    <row r="3" ht="35" customHeight="1">
      <c r="A3" s="11" t="inlineStr">
        <is>
          <t>الأعمدة</t>
        </is>
      </c>
      <c r="B3" s="12" t="inlineStr">
        <is>
          <t>أسماء الأعمدة مطابقة لحقول Google Sheets المستخدمة في الـ workflow قدر الإمكان.</t>
        </is>
      </c>
    </row>
    <row r="4" ht="35" customHeight="1">
      <c r="A4" s="11" t="inlineStr">
        <is>
          <t>الربط</t>
        </is>
      </c>
      <c r="B4" s="12" t="inlineStr">
        <is>
          <t>اربط عقدة Google Sheets في n8n بهذا الملف/الجدول بعد رفعه إلى Google Drive وتحويله إلى Google Sheets، أو استخدم أسماء الأعمدة نفسها في ورقة Tickets.</t>
        </is>
      </c>
    </row>
    <row r="5" ht="35" customHeight="1">
      <c r="A5" s="11" t="inlineStr">
        <is>
          <t>ملاحظة</t>
        </is>
      </c>
      <c r="B5" s="12" t="inlineStr">
        <is>
          <t>الصف الثاني مثال تجريبي فقط؛ احذفه قبل الاستخدام الفعلي إن لم تكن بحاجة إليه.</t>
        </is>
      </c>
    </row>
    <row r="6" ht="35" customHeight="1">
      <c r="A6" s="11" t="inlineStr">
        <is>
          <t>قيم Category</t>
        </is>
      </c>
      <c r="B6" s="12" t="inlineStr">
        <is>
          <t>complaint / refund / order / inquiry / spam / other</t>
        </is>
      </c>
    </row>
    <row r="7" ht="35" customHeight="1">
      <c r="A7" s="11" t="inlineStr">
        <is>
          <t>قيم Priority</t>
        </is>
      </c>
      <c r="B7" s="12" t="inlineStr">
        <is>
          <t>urgent / high / normal / low</t>
        </is>
      </c>
    </row>
    <row r="8" ht="35" customHeight="1">
      <c r="A8" s="11" t="inlineStr">
        <is>
          <t>قيم Sentiment</t>
        </is>
      </c>
      <c r="B8" s="12" t="inlineStr">
        <is>
          <t>angry / negative / neutral / positive</t>
        </is>
      </c>
    </row>
    <row r="9" ht="35" customHeight="1">
      <c r="A9" s="11" t="inlineStr">
        <is>
          <t>قيم Status</t>
        </is>
      </c>
      <c r="B9" s="12" t="inlineStr">
        <is>
          <t>open / auto-answered / closed / pending / 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2026-10-27T09:41:57Z</dcterms:created>
  <dcterms:modified xmlns:dcterms="http://purl.org/dc/terms/" xmlns:xsi="http://www.w3.org/2001/XMLSchema-instance" xsi:type="dcterms:W3CDTF">2026-10-27T09:41:57Z</dcterms:modified>
</cp:coreProperties>
</file>